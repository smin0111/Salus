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1e70641e5b43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80a6388c1c4201"/>
    <x:sheet xmlns:r="http://schemas.openxmlformats.org/officeDocument/2006/relationships" name="Accepted_20" sheetId="2" r:id="Rcbd310d5a6f540c6"/>
    <x:sheet xmlns:r="http://schemas.openxmlformats.org/officeDocument/2006/relationships" name="Rejected_Candidates" sheetId="3" r:id="Rfe203c85988344e7"/>
    <x:sheet xmlns:r="http://schemas.openxmlformats.org/officeDocument/2006/relationships" name="Methodology" sheetId="4" r:id="R565395dab8b340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334155"/>
      <x:name val="Carlito"/>
    </x:font>
    <x:font>
      <x:b/>
      <x:sz val="11"/>
      <x:color rgb="FFFFFFFF"/>
      <x:name val="Carlito"/>
    </x:font>
    <x:font>
      <x:b/>
      <x:sz val="11"/>
      <x:color rgb="FF123B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AF2F8"/>
      </x:patternFill>
    </x:fill>
    <x:fill>
      <x:patternFill patternType="solid">
        <x:fgColor rgb="FF1F5A7A"/>
      </x:patternFill>
    </x:fill>
    <x:fill>
      <x:patternFill patternType="solid">
        <x:fgColor rgb="FFDCEAF3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9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/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3" fillId="4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a8e5a3768f4224" /><Relationship Type="http://schemas.openxmlformats.org/officeDocument/2006/relationships/theme" Target="/xl/theme/theme1.xml" Id="R6349b930048544c3" /><Relationship Type="http://schemas.openxmlformats.org/officeDocument/2006/relationships/sharedStrings" Target="/xl/sharedStrings.xml" Id="R65f320dffac846f6" /><Relationship Type="http://schemas.openxmlformats.org/officeDocument/2006/relationships/worksheet" Target="/xl/worksheets/sheet1.xml" Id="R6980a6388c1c4201" /><Relationship Type="http://schemas.openxmlformats.org/officeDocument/2006/relationships/worksheet" Target="/xl/worksheets/sheet2.xml" Id="Rcbd310d5a6f540c6" /><Relationship Type="http://schemas.openxmlformats.org/officeDocument/2006/relationships/worksheet" Target="/xl/worksheets/sheet3.xml" Id="Rfe203c85988344e7" /><Relationship Type="http://schemas.openxmlformats.org/officeDocument/2006/relationships/worksheet" Target="/xl/worksheets/sheet4.xml" Id="R565395dab8b340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44" hidden="0" customWidth="1"/>
    <x:col min="4" max="4" width="2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2" customHeight="1">
      <x:c r="A1" s="4" t="str">
        <x:v>Salus Strict Web-Verified Food Label Reference — 20 Products</x:v>
      </x:c>
      <x:c r="B1" s="4"/>
      <x:c r="C1" s="4"/>
      <x:c r="D1" s="4"/>
      <x:c r="E1" s="4"/>
      <x:c r="F1" s="4"/>
      <x:c r="G1" s="4"/>
      <x:c r="H1" s="4"/>
    </x:row>
    <x:row r="2" ht="42" customHeight="1">
      <x:c r="A2" s="11" t="str">
        <x:v>라면 편향을 제거하고 유제품·즉석식·두부·과자·소스·음료·통조림 등으로 재구성. 조금이라도 충돌/미확정인 후보는 탈락시켜 대체한 최종 웹 검증 세트.</x:v>
      </x:c>
      <x:c r="B2" s="11"/>
      <x:c r="C2" s="11"/>
      <x:c r="D2" s="11"/>
      <x:c r="E2" s="11"/>
      <x:c r="F2" s="11"/>
      <x:c r="G2" s="11"/>
      <x:c r="H2" s="11"/>
    </x:row>
    <x:row r="4">
      <x:c r="A4" s="30" t="str">
        <x:v>KPI</x:v>
      </x:c>
      <x:c r="B4" s="31" t="str">
        <x:v>값</x:v>
      </x:c>
      <x:c r="C4" s="53"/>
      <x:c r="D4" s="31" t="str">
        <x:v>등급</x:v>
      </x:c>
      <x:c r="E4" s="31" t="str">
        <x:v>의미</x:v>
      </x:c>
      <x:c r="F4" s="31" t="str"/>
      <x:c r="G4" s="31" t="str"/>
      <x:c r="H4" s="33" t="str"/>
    </x:row>
    <x:row r="5">
      <x:c r="A5" s="54" t="str">
        <x:v>채택 제품 수</x:v>
      </x:c>
      <x:c r="B5" s="55" t="n">
        <x:f>COUNTA(Accepted_20!A2:A21)</x:f>
        <x:v>20</x:v>
      </x:c>
      <x:c r="C5" s="55"/>
      <x:c r="D5" s="55" t="str">
        <x:v>WEB_VERIFIED_STRICT</x:v>
      </x:c>
      <x:c r="E5" s="55" t="str">
        <x:v>현재 웹 라벨 + 동일 GTIN/제품 근거가 충돌 없이 맞는 Gold-candidate</x:v>
      </x:c>
      <x:c r="F5" s="55" t="str"/>
      <x:c r="G5" s="55" t="str"/>
      <x:c r="H5" s="56" t="str"/>
    </x:row>
    <x:row r="6">
      <x:c r="A6" s="54" t="str">
        <x:v>채택 제품 미해결 충돌</x:v>
      </x:c>
      <x:c r="B6" s="55" t="n">
        <x:f>SUM(Accepted_20!T2:T21)</x:f>
        <x:v>0</x:v>
      </x:c>
      <x:c r="C6" s="55"/>
      <x:c r="D6" s="55" t="str">
        <x:v>NONE (미해결 충돌)</x:v>
      </x:c>
      <x:c r="E6" s="55" t="str">
        <x:v>채택 20개 안에는 현재 확인된 미해결 충돌을 남기지 않음</x:v>
      </x:c>
      <x:c r="F6" s="55" t="str"/>
      <x:c r="G6" s="55" t="str"/>
      <x:c r="H6" s="56" t="str"/>
    </x:row>
    <x:row r="7">
      <x:c r="A7" s="54" t="str">
        <x:v>탈락 후보 수</x:v>
      </x:c>
      <x:c r="B7" s="55" t="n">
        <x:f>COUNTA(Rejected_Candidates!A2:A13)</x:f>
        <x:v>12</x:v>
      </x:c>
      <x:c r="C7" s="55"/>
      <x:c r="D7" s="55" t="str">
        <x:v>NO (Physical Gold)</x:v>
      </x:c>
      <x:c r="E7" s="55" t="str">
        <x:v>실제 손에 든 동일 제품의 전체 라벨과 아직 문자 단위 대조하지 않은 상태</x:v>
      </x:c>
      <x:c r="F7" s="55" t="str"/>
      <x:c r="G7" s="55" t="str"/>
      <x:c r="H7" s="56" t="str"/>
    </x:row>
    <x:row r="8">
      <x:c r="A8" s="54" t="str">
        <x:v>Physical Gold 승격 수</x:v>
      </x:c>
      <x:c r="B8" s="55" t="n">
        <x:f>COUNTA(Accepted_20!A2:A21)-COUNTA(Accepted_20!A2:A21)</x:f>
        <x:v>0</x:v>
      </x:c>
      <x:c r="C8" s="55"/>
      <x:c r="D8" s="55" t="str">
        <x:v>GOLD_PHYSICAL</x:v>
      </x:c>
      <x:c r="E8" s="55" t="str">
        <x:v>실물 전체 라벨과 100% 일치 확인 후에만 승격</x:v>
      </x:c>
      <x:c r="F8" s="55" t="str"/>
      <x:c r="G8" s="55" t="str"/>
      <x:c r="H8" s="56" t="str"/>
    </x:row>
    <x:row r="9">
      <x:c r="A9" s="54" t="str">
        <x:v>검증 기준일</x:v>
      </x:c>
      <x:c r="B9" s="55" t="str">
        <x:v>2026-09-09</x:v>
      </x:c>
      <x:c r="C9" s="55"/>
      <x:c r="D9" s="55" t="str">
        <x:v>주의</x:v>
      </x:c>
      <x:c r="E9" s="55" t="str">
        <x:v>'웹에서 완벽하게 보였다'와 '네 손의 생산 로트까지 동일하다'는 다른 주장임</x:v>
      </x:c>
      <x:c r="F9" s="55" t="str"/>
      <x:c r="G9" s="55" t="str"/>
      <x:c r="H9" s="56" t="str"/>
    </x:row>
    <x:row r="10">
      <x:c r="A10" s="54"/>
      <x:c r="B10" s="55"/>
      <x:c r="C10" s="55"/>
      <x:c r="D10" s="55"/>
      <x:c r="E10" s="55"/>
      <x:c r="F10" s="55"/>
      <x:c r="G10" s="55"/>
      <x:c r="H10" s="56"/>
    </x:row>
    <x:row r="11" ht="38" customHeight="1">
      <x:c r="A11" s="57" t="str">
        <x:v>이번 버전에서 바뀐 점</x:v>
      </x:c>
      <x:c r="B11" s="58" t="str"/>
      <x:c r="C11" s="58" t="str"/>
      <x:c r="D11" s="58" t="str"/>
      <x:c r="E11" s="58" t="str"/>
      <x:c r="F11" s="58" t="str"/>
      <x:c r="G11" s="58" t="str"/>
      <x:c r="H11" s="59" t="str"/>
    </x:row>
    <x:row r="12" ht="38" customHeight="1">
      <x:c r="A12" s="54" t="str">
        <x:v>1</x:v>
      </x:c>
      <x:c r="B12" s="55" t="str">
        <x:v>라면 20종 중심 구성 폐기</x:v>
      </x:c>
      <x:c r="C12" s="55" t="str">
        <x:v>식품군 다양화</x:v>
      </x:c>
      <x:c r="D12" s="55" t="str"/>
      <x:c r="E12" s="55" t="str"/>
      <x:c r="F12" s="55" t="str"/>
      <x:c r="G12" s="55" t="str"/>
      <x:c r="H12" s="56" t="str"/>
    </x:row>
    <x:row r="13" ht="38" customHeight="1">
      <x:c r="A13" s="54" t="str">
        <x:v>2</x:v>
      </x:c>
      <x:c r="B13" s="55" t="str">
        <x:v>충돌 제품 즉시 교체</x:v>
      </x:c>
      <x:c r="C13" s="55" t="str">
        <x:v>너구리·참깨라면·팔도비빔면 등은 최종 20에서 제외</x:v>
      </x:c>
      <x:c r="D13" s="55" t="str"/>
      <x:c r="E13" s="55" t="str"/>
      <x:c r="F13" s="55" t="str"/>
      <x:c r="G13" s="55" t="str"/>
      <x:c r="H13" s="56" t="str"/>
    </x:row>
    <x:row r="14" ht="38" customHeight="1">
      <x:c r="A14" s="54" t="str">
        <x:v>3</x:v>
      </x:c>
      <x:c r="B14" s="55" t="str">
        <x:v>덴마크 드링킹요구르트도 미채택</x:v>
      </x:c>
      <x:c r="C14" s="55" t="str">
        <x:v>단품 GTIN 독립 검증이 기준을 못 넘어서 제외</x:v>
      </x:c>
      <x:c r="D14" s="55" t="str"/>
      <x:c r="E14" s="55" t="str"/>
      <x:c r="F14" s="55" t="str"/>
      <x:c r="G14" s="55" t="str"/>
      <x:c r="H14" s="56" t="str"/>
    </x:row>
    <x:row r="15" ht="38" customHeight="1">
      <x:c r="A15" s="54" t="str">
        <x:v>4</x:v>
      </x:c>
      <x:c r="B15" s="55" t="str">
        <x:v>라이트참치도 미채택</x:v>
      </x:c>
      <x:c r="C15" s="55" t="str">
        <x:v>'다랑어/가다랑어' 같은 사소한 표기 차이도 허용하지 않고 삼다수로 교체</x:v>
      </x:c>
      <x:c r="D15" s="55" t="str"/>
      <x:c r="E15" s="55" t="str"/>
      <x:c r="F15" s="55" t="str"/>
      <x:c r="G15" s="55" t="str"/>
      <x:c r="H15" s="56" t="str"/>
    </x:row>
    <x:row r="16" ht="38" customHeight="1">
      <x:c r="A16" s="54" t="str">
        <x:v>5</x:v>
      </x:c>
      <x:c r="B16" s="55" t="str">
        <x:v>복합 케이스 추가</x:v>
      </x:c>
      <x:c r="C16" s="55" t="str">
        <x:v>오뚜기 3분 카레: 바코드·원재료·함유·같은시설·품목보고번호를 현행 라벨 한 장에서 확인</x:v>
      </x:c>
      <x:c r="D16" s="55" t="str"/>
      <x:c r="E16" s="55" t="str"/>
      <x:c r="F16" s="55" t="str"/>
      <x:c r="G16" s="55" t="str"/>
      <x:c r="H16" s="56" t="str"/>
    </x:row>
    <x:row r="17" ht="38" customHeight="1">
      <x:c r="A17" s="60" t="str">
        <x:v>6</x:v>
      </x:c>
      <x:c r="B17" s="61" t="str">
        <x:v>최종 목적</x:v>
      </x:c>
      <x:c r="C17" s="61" t="str">
        <x:v>Salus의 OCR/API/알레르기 판별 결과를 비교할 정답 후보군 확보</x:v>
      </x:c>
      <x:c r="D17" s="61" t="str"/>
      <x:c r="E17" s="61" t="str"/>
      <x:c r="F17" s="61" t="str"/>
      <x:c r="G17" s="61" t="str"/>
      <x:c r="H17" s="62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0" hidden="0" customWidth="1"/>
    <x:col min="4" max="4" width="27" hidden="0" customWidth="1"/>
    <x:col min="5" max="5" width="15" hidden="0" customWidth="1"/>
    <x:col min="6" max="6" width="18" hidden="0" customWidth="1"/>
    <x:col min="7" max="7" width="62" hidden="0" customWidth="1"/>
    <x:col min="8" max="8" width="34" hidden="0" customWidth="1"/>
    <x:col min="9" max="9" width="48" hidden="0" customWidth="1"/>
    <x:col min="10" max="10" width="48" hidden="0" customWidth="1"/>
    <x:col min="11" max="11" width="30" hidden="0" customWidth="1"/>
    <x:col min="12" max="12" width="48" hidden="0" customWidth="1"/>
    <x:col min="13" max="13" width="48" hidden="0" customWidth="1"/>
    <x:col min="14" max="14" width="48" hidden="0" customWidth="1"/>
    <x:col min="15" max="15" width="14" hidden="0" customWidth="1"/>
    <x:col min="16" max="16" width="24" hidden="0" customWidth="1"/>
    <x:col min="17" max="17" width="18" hidden="0" customWidth="1"/>
    <x:col min="18" max="18" width="18" hidden="0" customWidth="1"/>
    <x:col min="19" max="19" width="52" hidden="0" customWidth="1"/>
    <x:col min="20" max="20" width="14" hidden="0" customWidth="1"/>
  </x:cols>
  <x:sheetData>
    <x:row r="1" ht="38" customHeight="1">
      <x:c r="A1" s="30" t="str">
        <x:v>ID</x:v>
      </x:c>
      <x:c r="B1" s="31" t="str">
        <x:v>카테고리</x:v>
      </x:c>
      <x:c r="C1" s="31" t="str">
        <x:v>브랜드</x:v>
      </x:c>
      <x:c r="D1" s="31" t="str">
        <x:v>제품명</x:v>
      </x:c>
      <x:c r="E1" s="31" t="str">
        <x:v>규격</x:v>
      </x:c>
      <x:c r="F1" s="31" t="str">
        <x:v>GTIN/바코드</x:v>
      </x:c>
      <x:c r="G1" s="31" t="str">
        <x:v>원재료명 전체</x:v>
      </x:c>
      <x:c r="H1" s="31" t="str">
        <x:v>별도 알레르기 함유 표시</x:v>
      </x:c>
      <x:c r="I1" s="31" t="str">
        <x:v>교차접촉/같은 제조시설 문구</x:v>
      </x:c>
      <x:c r="J1" s="31" t="str">
        <x:v>제조원/제조소</x:v>
      </x:c>
      <x:c r="K1" s="31" t="str">
        <x:v>품목보고번호</x:v>
      </x:c>
      <x:c r="L1" s="31" t="str">
        <x:v>라벨 근거 URL</x:v>
      </x:c>
      <x:c r="M1" s="31" t="str">
        <x:v>독립 GTIN/제품 근거 URL</x:v>
      </x:c>
      <x:c r="N1" s="31" t="str">
        <x:v>직접 확인한 라벨 이미지 URL</x:v>
      </x:c>
      <x:c r="O1" s="31" t="str">
        <x:v>검증일</x:v>
      </x:c>
      <x:c r="P1" s="31" t="str">
        <x:v>데이터 등급</x:v>
      </x:c>
      <x:c r="Q1" s="31" t="str">
        <x:v>미해결 충돌</x:v>
      </x:c>
      <x:c r="R1" s="31" t="str">
        <x:v>Physical Gold 여부</x:v>
      </x:c>
      <x:c r="S1" s="31" t="str">
        <x:v>검증 메모</x:v>
      </x:c>
      <x:c r="T1" s="33" t="str">
        <x:v>conflict_flag</x:v>
      </x:c>
    </x:row>
    <x:row r="2" ht="94" customHeight="1">
      <x:c r="A2" s="73" t="str">
        <x:v>S001</x:v>
      </x:c>
      <x:c r="B2" s="74" t="str">
        <x:v>우유</x:v>
      </x:c>
      <x:c r="C2" s="74" t="str">
        <x:v>서울우유</x:v>
      </x:c>
      <x:c r="D2" s="74" t="str">
        <x:v>서울우유</x:v>
      </x:c>
      <x:c r="E2" s="74" t="str">
        <x:v>1000mL</x:v>
      </x:c>
      <x:c r="F2" s="85" t="str">
        <x:v>8801115114154</x:v>
      </x:c>
      <x:c r="G2" s="74" t="str">
        <x:v>원유 100%(국산, 체세포수 기준 1급, 세균수 기준 1급A)</x:v>
      </x:c>
      <x:c r="H2" s="74" t="str">
        <x:v>우유 함유</x:v>
      </x:c>
      <x:c r="I2" s="74" t="str">
        <x:v>별도 교차접촉 문구 표시 없음(확인 라벨 기준)</x:v>
      </x:c>
      <x:c r="J2" s="74" t="str">
        <x:v>서울우유협동조합 / 안산공장(F3) 경기도 안산시 단원구 성곡로153(신길동); 거창공장(F4) 경남 거창군 거창읍 거함대로3372-71; 양주신공장(F5) 경기도 양주시 은현면 예원대학로62</x:v>
      </x:c>
      <x:c r="K2" s="74" t="str">
        <x:v>F3 19760262002292; F4 20050575003269; F5 202002671922</x:v>
      </x:c>
      <x:c r="L2" s="74" t="str">
        <x:v>https://emile.emarteveryday.co.kr/product/ProductView?skuCode=8801115114154&amp;strCode=4006</x:v>
      </x:c>
      <x:c r="M2" s="74" t="str">
        <x:v>https://lottemartzetta.com/products/OS8801115114154/details</x:v>
      </x:c>
      <x:c r="N2" s="74" t="str"/>
      <x:c r="O2" s="85" t="str">
        <x:v>2026-09-09</x:v>
      </x:c>
      <x:c r="P2" s="74" t="str">
        <x:v>WEB_VERIFIED_STRICT</x:v>
      </x:c>
      <x:c r="Q2" s="74" t="str">
        <x:v>NONE</x:v>
      </x:c>
      <x:c r="R2" s="74" t="str">
        <x:v>NO</x:v>
      </x:c>
      <x:c r="S2" s="74" t="str">
        <x:v>현행 유통 라벨의 원재료·알레르기·제조소와 동일 GTIN 판매정보 교차확인.</x:v>
      </x:c>
      <x:c r="T2" s="89" t="n">
        <x:v>0</x:v>
      </x:c>
    </x:row>
    <x:row r="3" ht="94" customHeight="1">
      <x:c r="A3" s="73" t="str">
        <x:v>S002</x:v>
      </x:c>
      <x:c r="B3" s="74" t="str">
        <x:v>가공유</x:v>
      </x:c>
      <x:c r="C3" s="74" t="str">
        <x:v>서울우유</x:v>
      </x:c>
      <x:c r="D3" s="74" t="str">
        <x:v>서울 초코우유</x:v>
      </x:c>
      <x:c r="E3" s="74" t="str">
        <x:v>200mL</x:v>
      </x:c>
      <x:c r="F3" s="85" t="str">
        <x:v>8801115134237</x:v>
      </x:c>
      <x:c r="G3" s="74" t="str">
        <x:v>정제수, 원유(국산), 기타과당, 탈지분유(국산), 설탕, 코코아분말(싱가포르산) 1.1%, 카라기난, 향료 2종</x:v>
      </x:c>
      <x:c r="H3" s="74" t="str">
        <x:v>우유 함유</x:v>
      </x:c>
      <x:c r="I3" s="74" t="str">
        <x:v>별도 교차접촉 문구 표시 없음(확인 라벨 기준)</x:v>
      </x:c>
      <x:c r="J3" s="74" t="str">
        <x:v>서울우유협동조합 / 안산공장(F3) 경기도 안산시 단원구 성곡로153(신길동); 거창공장(F4) 경남 거창군 거창읍 거함대로3372-71</x:v>
      </x:c>
      <x:c r="K3" s="74" t="str">
        <x:v>F3 19760262002113; F4 20050575003100</x:v>
      </x:c>
      <x:c r="L3" s="74" t="str">
        <x:v>https://emile.emarteveryday.co.kr/product/ProductView?skuCode=8801115134237&amp;strCode=4006</x:v>
      </x:c>
      <x:c r="M3" s="74" t="str">
        <x:v>https://www.beepscan.com/barcode/8801115134237</x:v>
      </x:c>
      <x:c r="N3" s="74" t="str">
        <x:v>https://images.emarteveryday.co.kr/images/product/8801115134237/T2VckWBCXSbFeUZF.png</x:v>
      </x:c>
      <x:c r="O3" s="85" t="str">
        <x:v>2026-09-09</x:v>
      </x:c>
      <x:c r="P3" s="74" t="str">
        <x:v>WEB_VERIFIED_STRICT</x:v>
      </x:c>
      <x:c r="Q3" s="74" t="str">
        <x:v>NONE</x:v>
      </x:c>
      <x:c r="R3" s="74" t="str">
        <x:v>NO</x:v>
      </x:c>
      <x:c r="S3" s="74" t="str">
        <x:v>라벨 이미지에서 원재료·우유 함유·공장/품목보고번호를 직접 판독하고 독립 GTIN DB로 재확인.</x:v>
      </x:c>
      <x:c r="T3" s="89" t="n">
        <x:v>0</x:v>
      </x:c>
    </x:row>
    <x:row r="4" ht="94" customHeight="1">
      <x:c r="A4" s="73" t="str">
        <x:v>S003</x:v>
      </x:c>
      <x:c r="B4" s="74" t="str">
        <x:v>발효유</x:v>
      </x:c>
      <x:c r="C4" s="74" t="str">
        <x:v>매일유업</x:v>
      </x:c>
      <x:c r="D4" s="74" t="str">
        <x:v>매일 바이오 PROBIOTIC 드링킹요거트 플레인</x:v>
      </x:c>
      <x:c r="E4" s="74" t="str">
        <x:v>250mL</x:v>
      </x:c>
      <x:c r="F4" s="85" t="str">
        <x:v>8801121767122</x:v>
      </x:c>
      <x:c r="G4" s="74" t="str">
        <x:v>원유(국산), 정제수, 플레인시럽10%[설탕, 변성전분, 펙틴, 구연산, 구연산삼나트륨], 혼합탈지분유(네덜란드산), 설탕, 올리고당, 복합유산균 1,000억 이상(LGG유산균 250억 이상)/250mL</x:v>
      </x:c>
      <x:c r="H4" s="74" t="str">
        <x:v>우유 함유</x:v>
      </x:c>
      <x:c r="I4" s="74" t="str">
        <x:v>대두, 계란, 복숭아, 밀을 사용한 제품과 같은 제조시설</x:v>
      </x:c>
      <x:c r="J4" s="74" t="str">
        <x:v>매일유업㈜ 청양공장 / 충남 청양군 청양읍 충절로1355-58</x:v>
      </x:c>
      <x:c r="K4" s="74" t="str"/>
      <x:c r="L4" s="74" t="str">
        <x:v>https://emile.emarteveryday.co.kr/product/ProductView?skuCode=8801121767122&amp;strCode=4006</x:v>
      </x:c>
      <x:c r="M4" s="74" t="str">
        <x:v>https://www.beepscan.com/barcode/8801121767122</x:v>
      </x:c>
      <x:c r="N4" s="74" t="str"/>
      <x:c r="O4" s="85" t="str">
        <x:v>2026-09-09</x:v>
      </x:c>
      <x:c r="P4" s="74" t="str">
        <x:v>WEB_VERIFIED_STRICT</x:v>
      </x:c>
      <x:c r="Q4" s="74" t="str">
        <x:v>NONE</x:v>
      </x:c>
      <x:c r="R4" s="74" t="str">
        <x:v>NO</x:v>
      </x:c>
      <x:c r="S4" s="74" t="str">
        <x:v>현행 라벨의 원재료·우유 함유·같은 제조시설 문구와 단품 GTIN을 독립 출처에서 교차확인.</x:v>
      </x:c>
      <x:c r="T4" s="89" t="n">
        <x:v>0</x:v>
      </x:c>
    </x:row>
    <x:row r="5" ht="94" customHeight="1">
      <x:c r="A5" s="73" t="str">
        <x:v>S004</x:v>
      </x:c>
      <x:c r="B5" s="74" t="str">
        <x:v>즉석밥</x:v>
      </x:c>
      <x:c r="C5" s="74" t="str">
        <x:v>CJ제일제당</x:v>
      </x:c>
      <x:c r="D5" s="74" t="str">
        <x:v>햇반</x:v>
      </x:c>
      <x:c r="E5" s="74" t="str">
        <x:v>210g×6</x:v>
      </x:c>
      <x:c r="F5" s="85" t="str">
        <x:v>8801007037783</x:v>
      </x:c>
      <x:c r="G5" s="74" t="str">
        <x:v>멥쌀 99.9%(국산), 쌀미강추출물</x:v>
      </x:c>
      <x:c r="H5" s="74" t="str">
        <x:v>별도 알레르기 함유 표시 없음(확인 라벨 기준)</x:v>
      </x:c>
      <x:c r="I5" s="74" t="str">
        <x:v>별도 교차접촉 문구 표시 없음(확인 라벨 기준)</x:v>
      </x:c>
      <x:c r="J5" s="74" t="str">
        <x:v>CJ제일제당㈜ / F1 부산광역시 사하구 다대로210; F2 CJ 진천 BLOSSOM CAMPUS 충북 진천군 진천읍 씨제이로110</x:v>
      </x:c>
      <x:c r="K5" s="74" t="str">
        <x:v>F1 1991014403896; F2 20180450285-1</x:v>
      </x:c>
      <x:c r="L5" s="74" t="str">
        <x:v>https://emile.emarteveryday.co.kr/product/ProductView?skuCode=8801007037783&amp;strCode=4006</x:v>
      </x:c>
      <x:c r="M5" s="74" t="str">
        <x:v>https://www.ssg.com/item/itemView.ssg?itemId=1000024049958</x:v>
      </x:c>
      <x:c r="N5" s="74" t="str"/>
      <x:c r="O5" s="85" t="str">
        <x:v>2026-09-09</x:v>
      </x:c>
      <x:c r="P5" s="74" t="str">
        <x:v>WEB_VERIFIED_STRICT</x:v>
      </x:c>
      <x:c r="Q5" s="74" t="str">
        <x:v>NONE</x:v>
      </x:c>
      <x:c r="R5" s="74" t="str">
        <x:v>NO</x:v>
      </x:c>
      <x:c r="S5" s="74" t="str">
        <x:v>단순 원재료 음성 대조군. 현행 라벨과 SSG 모델번호 8801007037783 일치.</x:v>
      </x:c>
      <x:c r="T5" s="89" t="n">
        <x:v>0</x:v>
      </x:c>
    </x:row>
    <x:row r="6" ht="94" customHeight="1">
      <x:c r="A6" s="73" t="str">
        <x:v>S005</x:v>
      </x:c>
      <x:c r="B6" s="74" t="str">
        <x:v>햄/육가공 통조림</x:v>
      </x:c>
      <x:c r="C6" s="74" t="str">
        <x:v>CJ제일제당</x:v>
      </x:c>
      <x:c r="D6" s="74" t="str">
        <x:v>스팸 클래식</x:v>
      </x:c>
      <x:c r="E6" s="74" t="str">
        <x:v>200g</x:v>
      </x:c>
      <x:c r="F6" s="85" t="str">
        <x:v>8801007512259</x:v>
      </x:c>
      <x:c r="G6" s="74" t="str">
        <x:v>돼지고기 92.44%(지방 일부 사용/국산, 외국산: 미국, 스페인, 캐나다 등), 정제수, 정제소금(국산), 백설탕, 혼합제제(폴리인산나트륨, 피로인산나트륨, 메타인산나트륨), 카라기난, 비타민C, 아질산나트륨(발색제)</x:v>
      </x:c>
      <x:c r="H6" s="74" t="str">
        <x:v>돼지고기 함유</x:v>
      </x:c>
      <x:c r="I6" s="74" t="str">
        <x:v>알류, 대두, 밀, 우유, 닭고기, 쇠고기를 사용한 제품과 같은 제조시설</x:v>
      </x:c>
      <x:c r="J6" s="74" t="str">
        <x:v>CJ제일제당㈜ / 충북 진천군 광혜원면 광혜원산단2길112</x:v>
      </x:c>
      <x:c r="K6" s="74" t="str">
        <x:v>20080405015-61</x:v>
      </x:c>
      <x:c r="L6" s="74" t="str">
        <x:v>https://emile.emarteveryday.co.kr/product/ProductView?skuCode=8801007512259&amp;strCode=4006</x:v>
      </x:c>
      <x:c r="M6" s="74" t="str">
        <x:v>https://dept.sfcmall.com/item/itemView.ssg?itemId=1000024006397&amp;salestrNo=1009&amp;siteNo=6009</x:v>
      </x:c>
      <x:c r="N6" s="74" t="str"/>
      <x:c r="O6" s="85" t="str">
        <x:v>2026-09-09</x:v>
      </x:c>
      <x:c r="P6" s="74" t="str">
        <x:v>WEB_VERIFIED_STRICT</x:v>
      </x:c>
      <x:c r="Q6" s="74" t="str">
        <x:v>NONE</x:v>
      </x:c>
      <x:c r="R6" s="74" t="str">
        <x:v>NO</x:v>
      </x:c>
      <x:c r="S6" s="74" t="str">
        <x:v>현행 라벨과 SSG 모델번호 8801007512259 교차확인.</x:v>
      </x:c>
      <x:c r="T6" s="89" t="n">
        <x:v>0</x:v>
      </x:c>
    </x:row>
    <x:row r="7" ht="94" customHeight="1">
      <x:c r="A7" s="73" t="str">
        <x:v>S006</x:v>
      </x:c>
      <x:c r="B7" s="74" t="str">
        <x:v>두부</x:v>
      </x:c>
      <x:c r="C7" s="74" t="str">
        <x:v>풀무원</x:v>
      </x:c>
      <x:c r="D7" s="74" t="str">
        <x:v>특등급 국산콩 두부 2입 기획</x:v>
      </x:c>
      <x:c r="E7" s="74" t="str">
        <x:v>300g×2</x:v>
      </x:c>
      <x:c r="F7" s="85" t="str">
        <x:v>8801114120958</x:v>
      </x:c>
      <x:c r="G7" s="74" t="str">
        <x:v>대두 100%(국산), 조제해수염화마그네슘, 현미유, 올리브유</x:v>
      </x:c>
      <x:c r="H7" s="74" t="str">
        <x:v>대두 함유</x:v>
      </x:c>
      <x:c r="I7" s="74" t="str">
        <x:v>별도 교차접촉 문구 표시 없음(확인 라벨 기준)</x:v>
      </x:c>
      <x:c r="J7" s="74" t="str">
        <x:v>풀무원식품㈜ / F3 충북 음성군 대소면 대소산단로58; FW ㈜우천식품 경기 포천시 이동면 늠바위길119</x:v>
      </x:c>
      <x:c r="K7" s="74" t="str">
        <x:v>F3 2003044504588; FW 19810372140113</x:v>
      </x:c>
      <x:c r="L7" s="74" t="str">
        <x:v>https://emile.emarteveryday.co.kr/product/ProductView?skuCode=8801114120958&amp;strCode=4006</x:v>
      </x:c>
      <x:c r="M7" s="74" t="str">
        <x:v>https://lottemartzetta.com/products/OS8801114120958/details</x:v>
      </x:c>
      <x:c r="N7" s="74" t="str"/>
      <x:c r="O7" s="85" t="str">
        <x:v>2026-09-09</x:v>
      </x:c>
      <x:c r="P7" s="74" t="str">
        <x:v>WEB_VERIFIED_STRICT</x:v>
      </x:c>
      <x:c r="Q7" s="74" t="str">
        <x:v>NONE</x:v>
      </x:c>
      <x:c r="R7" s="74" t="str">
        <x:v>NO</x:v>
      </x:c>
      <x:c r="S7" s="74" t="str">
        <x:v>대두 100% 제품이지만 응고제·유지까지 실제 라벨 기준으로 보존.</x:v>
      </x:c>
      <x:c r="T7" s="89" t="n">
        <x:v>0</x:v>
      </x:c>
    </x:row>
    <x:row r="8" ht="94" customHeight="1">
      <x:c r="A8" s="73" t="str">
        <x:v>S007</x:v>
      </x:c>
      <x:c r="B8" s="74" t="str">
        <x:v>스낵</x:v>
      </x:c>
      <x:c r="C8" s="74" t="str">
        <x:v>농심</x:v>
      </x:c>
      <x:c r="D8" s="74" t="str">
        <x:v>새우깡</x:v>
      </x:c>
      <x:c r="E8" s="74" t="str">
        <x:v>90g</x:v>
      </x:c>
      <x:c r="F8" s="85" t="str">
        <x:v>8801043035989</x:v>
      </x:c>
      <x:c r="G8" s="74" t="str">
        <x:v>소맥분(밀: 미국산), 미강유(태국산), 옥수수전분{옥수수: 외국산(러시아, 헝가리, 세르비아 등)}, 새우(국산 50%, 미국산 50%), 팜유, 맛베이스조미분말{건새우분말(새우: 중국산), 새우추출물분말(새우: 미국산)}, 혼합제제(타피오카산화전분, 말토덱스트린), 새우풍미유, 염미시즈닝</x:v>
      </x:c>
      <x:c r="H8" s="74" t="str">
        <x:v>밀, 새우, 대두, 우유 함유</x:v>
      </x:c>
      <x:c r="I8" s="74" t="str">
        <x:v>쇠고기, 돼지고기, 토마토, 게, 닭고기, 오징어, 땅콩, 계란, 조개류(굴, 전복, 홍합 포함)를 사용한 제품과 같은 제조시설</x:v>
      </x:c>
      <x:c r="J8" s="74" t="str">
        <x:v>㈜농심</x:v>
      </x:c>
      <x:c r="K8" s="74" t="str">
        <x:v>19760342001184</x:v>
      </x:c>
      <x:c r="L8" s="74" t="str">
        <x:v>https://emile.emarteveryday.co.kr/product/ProductView?skuCode=8801043035989&amp;strCode=4006</x:v>
      </x:c>
      <x:c r="M8" s="74" t="str">
        <x:v>https://lottemartzetta.com/products/OS8801043035989/details</x:v>
      </x:c>
      <x:c r="N8" s="74" t="str"/>
      <x:c r="O8" s="85" t="str">
        <x:v>2026-09-09</x:v>
      </x:c>
      <x:c r="P8" s="74" t="str">
        <x:v>WEB_VERIFIED_STRICT</x:v>
      </x:c>
      <x:c r="Q8" s="74" t="str">
        <x:v>NONE</x:v>
      </x:c>
      <x:c r="R8" s="74" t="str">
        <x:v>NO</x:v>
      </x:c>
      <x:c r="S8" s="74" t="str">
        <x:v>복합 알레르겐 + 교차접촉 검증용.</x:v>
      </x:c>
      <x:c r="T8" s="89" t="n">
        <x:v>0</x:v>
      </x:c>
    </x:row>
    <x:row r="9" ht="94" customHeight="1">
      <x:c r="A9" s="73" t="str">
        <x:v>S008</x:v>
      </x:c>
      <x:c r="B9" s="74" t="str">
        <x:v>파이/과자</x:v>
      </x:c>
      <x:c r="C9" s="74" t="str">
        <x:v>오리온</x:v>
      </x:c>
      <x:c r="D9" s="74" t="str">
        <x:v>초코파이 정</x:v>
      </x:c>
      <x:c r="E9" s="74" t="str">
        <x:v>39g×12 (468g)</x:v>
      </x:c>
      <x:c r="F9" s="85" t="str">
        <x:v>8801117534912</x:v>
      </x:c>
      <x:c r="G9" s="74" t="str">
        <x:v>백설탕, 밀가루(밀: 미국산), 물엿, 쇼트닝(팜유: 말레이시아산, 팜올레인유: 말레이시아산), 식물성유지1(말레이시아산), 전지분유, 코코아분말1, 코코아분말2, 함수포도당, 젤라틴(돼지), 전란액, 식염, 산도조절제1, 산도조절제2, 코코아매스, 산도조절제3, 합성향료 3종, 혼합제제(카제인나트륨, 수산화칼슘, 아라비아검), 유화제, 잔탄검, 유당, 식물성유지2</x:v>
      </x:c>
      <x:c r="H9" s="74" t="str">
        <x:v>달걀, 밀, 우유, 대두, 쇠고기, 돼지고기 함유</x:v>
      </x:c>
      <x:c r="I9" s="74" t="str">
        <x:v>게, 조개류, 땅콩, 복숭아 혼입가능</x:v>
      </x:c>
      <x:c r="J9" s="74" t="str">
        <x:v>㈜오리온 제4청주공장 / 충북 청주시 흥덕구 월명로249</x:v>
      </x:c>
      <x:c r="K9" s="74" t="str">
        <x:v>19870415003114</x:v>
      </x:c>
      <x:c r="L9" s="74" t="str">
        <x:v>https://emile.emarteveryday.co.kr/product/ProductView?skuCode=8801117534912&amp;strCode=4006</x:v>
      </x:c>
      <x:c r="M9" s="74" t="str">
        <x:v>https://lottemartzetta.com/products/OS8801117534912/details</x:v>
      </x:c>
      <x:c r="N9" s="74" t="str"/>
      <x:c r="O9" s="85" t="str">
        <x:v>2026-09-09</x:v>
      </x:c>
      <x:c r="P9" s="74" t="str">
        <x:v>WEB_VERIFIED_STRICT</x:v>
      </x:c>
      <x:c r="Q9" s="74" t="str">
        <x:v>NONE</x:v>
      </x:c>
      <x:c r="R9" s="74" t="str">
        <x:v>NO</x:v>
      </x:c>
      <x:c r="S9" s="74" t="str">
        <x:v>다중 함유 알레르겐과 '혼입가능' 문구가 동시에 있는 복합 케이스.</x:v>
      </x:c>
      <x:c r="T9" s="89" t="n">
        <x:v>0</x:v>
      </x:c>
    </x:row>
    <x:row r="10" ht="94" customHeight="1">
      <x:c r="A10" s="73" t="str">
        <x:v>S009</x:v>
      </x:c>
      <x:c r="B10" s="74" t="str">
        <x:v>비스킷</x:v>
      </x:c>
      <x:c r="C10" s="74" t="str">
        <x:v>롯데웰푸드</x:v>
      </x:c>
      <x:c r="D10" s="74" t="str">
        <x:v>빠다코코낫</x:v>
      </x:c>
      <x:c r="E10" s="74" t="str">
        <x:v>300g</x:v>
      </x:c>
      <x:c r="F10" s="85" t="str">
        <x:v>8801062870455</x:v>
      </x:c>
      <x:c r="G10" s="74" t="str">
        <x:v>밀가루(밀: 미국산), 설탕, 쇼트닝(팜유: 말레이시아산), 식물성유지(팜유: 말레이시아산), 가당볶음코코넛분말[건조코코넛분말(코코넛: 필리핀산), 기타설탕], 곡류가공품, 산도조절제, 전분, 정제소금, 기타과당, 버터(프랑스산), 기타가공품, 산도조절제, 합성향료(버터향, 코코넛향), 기타가공품, 산성아황산나트륨(산화방지제), 기타가공품</x:v>
      </x:c>
      <x:c r="H10" s="74" t="str">
        <x:v>밀, 대두, 우유, 아황산류 함유</x:v>
      </x:c>
      <x:c r="I10" s="74" t="str">
        <x:v>별도 교차접촉 문구 표시 없음(확인 라벨 기준)</x:v>
      </x:c>
      <x:c r="J10" s="74" t="str">
        <x:v>롯데웰푸드㈜ / 경남 양산시 양산대로1158</x:v>
      </x:c>
      <x:c r="K10" s="74" t="str">
        <x:v>19780614009303</x:v>
      </x:c>
      <x:c r="L10" s="74" t="str">
        <x:v>https://emile.emarteveryday.co.kr/product/ProductView?skuCode=8801062870455&amp;strCode=4006</x:v>
      </x:c>
      <x:c r="M10" s="74" t="str">
        <x:v>https://www.lollol.co.kr/shop/goods_list.php?ps_ctid=10080000</x:v>
      </x:c>
      <x:c r="N10" s="74" t="str"/>
      <x:c r="O10" s="85" t="str">
        <x:v>2026-09-09</x:v>
      </x:c>
      <x:c r="P10" s="74" t="str">
        <x:v>WEB_VERIFIED_STRICT</x:v>
      </x:c>
      <x:c r="Q10" s="74" t="str">
        <x:v>NONE</x:v>
      </x:c>
      <x:c r="R10" s="74" t="str">
        <x:v>NO</x:v>
      </x:c>
      <x:c r="S10" s="74" t="str">
        <x:v>현행 라벨 원재료를 보존하고 독립 유통목록에서 GTIN 8801062870455 재확인.</x:v>
      </x:c>
      <x:c r="T10" s="89" t="n">
        <x:v>0</x:v>
      </x:c>
    </x:row>
    <x:row r="11" ht="94" customHeight="1">
      <x:c r="A11" s="73" t="str">
        <x:v>S010</x:v>
      </x:c>
      <x:c r="B11" s="74" t="str">
        <x:v>먹는샘물</x:v>
      </x:c>
      <x:c r="C11" s="74" t="str">
        <x:v>제주특별자치도개발공사</x:v>
      </x:c>
      <x:c r="D11" s="74" t="str">
        <x:v>제주삼다수</x:v>
      </x:c>
      <x:c r="E11" s="74" t="str">
        <x:v>2L</x:v>
      </x:c>
      <x:c r="F11" s="85" t="str">
        <x:v>8808244201045</x:v>
      </x:c>
      <x:c r="G11" s="74" t="str">
        <x:v>암반대수층 지하수(제주)</x:v>
      </x:c>
      <x:c r="H11" s="74" t="str">
        <x:v>해당사항 없음(먹는샘물 라벨 기준)</x:v>
      </x:c>
      <x:c r="I11" s="74" t="str">
        <x:v>해당사항 없음</x:v>
      </x:c>
      <x:c r="J11" s="74" t="str">
        <x:v>제주특별자치도개발공사 / 제주특별자치도 제주시 조천읍 남조로1717-35</x:v>
      </x:c>
      <x:c r="K11" s="74" t="str">
        <x:v>제주특별자치도 제2호(영업허가번호)</x:v>
      </x:c>
      <x:c r="L11" s="74" t="str">
        <x:v>https://emile.emarteveryday.co.kr/product/ProductView?skuCode=8808244201045</x:v>
      </x:c>
      <x:c r="M11" s="74" t="str">
        <x:v>https://www.cvslove.com/product/product_view.asp?pcode=8808244201045</x:v>
      </x:c>
      <x:c r="N11" s="74" t="str"/>
      <x:c r="O11" s="85" t="str">
        <x:v>2026-09-09</x:v>
      </x:c>
      <x:c r="P11" s="74" t="str">
        <x:v>WEB_VERIFIED_STRICT</x:v>
      </x:c>
      <x:c r="Q11" s="74" t="str">
        <x:v>NONE</x:v>
      </x:c>
      <x:c r="R11" s="74" t="str">
        <x:v>NO</x:v>
      </x:c>
      <x:c r="S11" s="74" t="str">
        <x:v>알레르겐 음성 대조군. 현행 2L 라벨과 독립 상품코드 8808244201045 일치.</x:v>
      </x:c>
      <x:c r="T11" s="89" t="n">
        <x:v>0</x:v>
      </x:c>
    </x:row>
    <x:row r="12" ht="94" customHeight="1">
      <x:c r="A12" s="73" t="str">
        <x:v>S011</x:v>
      </x:c>
      <x:c r="B12" s="74" t="str">
        <x:v>샌드쿠키</x:v>
      </x:c>
      <x:c r="C12" s="74" t="str">
        <x:v>오레오/동서식품</x:v>
      </x:c>
      <x:c r="D12" s="74" t="str">
        <x:v>오레오 화이트크림</x:v>
      </x:c>
      <x:c r="E12" s="74" t="str">
        <x:v>100g</x:v>
      </x:c>
      <x:c r="F12" s="85" t="str">
        <x:v>8801037088168</x:v>
      </x:c>
      <x:c r="G12" s="74" t="str">
        <x:v>밀가루(밀: 미국산), 설탕, 식물성유지[에스테르화유-팜스테아린유(말레이시아산), 야자유(인도네시아산, 필리핀산), 해바라기유, 혼합제제(해바라기유, 글리세린에스테르, 정제수, 차카테킨), 혼합제제(올레오레진로즈메리, 올레오레진세이지)], 분당(설탕, 옥수수전분), 식물성유지[팜유(말레이시아산), 혼합제제, 혼합제제], 유당, 포도당, 코코아분말(미국산 70%, 싱가포르산 30%) 4.9%, 물엿, 옥수수전분, 유청, 팽창제1, 팽창제2, 정제소금, 레시틴, 바닐린, 혼합제제[천연향료, 합성향료(바닐라향)]</x:v>
      </x:c>
      <x:c r="H12" s="74" t="str">
        <x:v>밀, 대두, 우유 함유</x:v>
      </x:c>
      <x:c r="I12" s="74" t="str">
        <x:v>달걀, 메밀, 땅콩, 고등어, 게, 새우, 돼지고기, 복숭아, 토마토, 아황산류, 호두, 닭고기, 쇠고기, 오징어, 조개류(굴, 전복, 홍합 포함), 잣을 사용한 제품과 같은 제조시설</x:v>
      </x:c>
      <x:c r="J12" s="74" t="str">
        <x:v>미가방 유한회사 / 강원도 철원군 김화읍 외골길34-40</x:v>
      </x:c>
      <x:c r="K12" s="74" t="str">
        <x:v>19960399065-283</x:v>
      </x:c>
      <x:c r="L12" s="74" t="str">
        <x:v>https://emile.emarteveryday.co.kr/product/ProductView?skuCode=8801037088168&amp;strCode=4006</x:v>
      </x:c>
      <x:c r="M12" s="74" t="str">
        <x:v>https://lottemartzetta.com/products/OS8801037088168/details</x:v>
      </x:c>
      <x:c r="N12" s="74" t="str"/>
      <x:c r="O12" s="85" t="str">
        <x:v>2026-09-09</x:v>
      </x:c>
      <x:c r="P12" s="74" t="str">
        <x:v>WEB_VERIFIED_STRICT</x:v>
      </x:c>
      <x:c r="Q12" s="74" t="str">
        <x:v>NONE</x:v>
      </x:c>
      <x:c r="R12" s="74" t="str">
        <x:v>NO</x:v>
      </x:c>
      <x:c r="S12" s="74" t="str">
        <x:v>교차접촉 목록이 긴 난이도 높은 케이스.</x:v>
      </x:c>
      <x:c r="T12" s="89" t="n">
        <x:v>0</x:v>
      </x:c>
    </x:row>
    <x:row r="13" ht="94" customHeight="1">
      <x:c r="A13" s="73" t="str">
        <x:v>S012</x:v>
      </x:c>
      <x:c r="B13" s="74" t="str">
        <x:v>소스</x:v>
      </x:c>
      <x:c r="C13" s="74" t="str">
        <x:v>오뚜기</x:v>
      </x:c>
      <x:c r="D13" s="74" t="str">
        <x:v>토마토 케찹</x:v>
      </x:c>
      <x:c r="E13" s="74" t="str">
        <x:v>500g</x:v>
      </x:c>
      <x:c r="F13" s="85" t="str">
        <x:v>8801045100210</x:v>
      </x:c>
      <x:c r="G13" s="74" t="str">
        <x:v>토마토페이스트 43.8%[외국산(미국, 칠레, 중국 등)], 정제수, 물엿, 설탕, 발효식초(주정, 발효영양원), 정제소금(국산), 잔탄검, 케첩향신료[천연향신료(육두구: 인도네시아산), 양파분(미국산)]</x:v>
      </x:c>
      <x:c r="H13" s="74" t="str">
        <x:v>토마토 함유</x:v>
      </x:c>
      <x:c r="I13" s="74" t="str">
        <x:v>대두, 밀, 우유, 계란, 쇠고기, 조개류(굴), 닭고기를 사용한 제품과 같은 제조시설</x:v>
      </x:c>
      <x:c r="J13" s="74" t="str">
        <x:v>㈜오뚜기 / 충북 음성군 대소면 대풍산단로128</x:v>
      </x:c>
      <x:c r="K13" s="74" t="str">
        <x:v>200104450551</x:v>
      </x:c>
      <x:c r="L13" s="74" t="str">
        <x:v>https://emile.emarteveryday.co.kr/product/ProductView?skuCode=8801045100210&amp;strCode=4006</x:v>
      </x:c>
      <x:c r="M13" s="74" t="str">
        <x:v>https://lottemartzetta.com/products/OS8801045100210/details</x:v>
      </x:c>
      <x:c r="N13" s="74" t="str"/>
      <x:c r="O13" s="85" t="str">
        <x:v>2026-09-09</x:v>
      </x:c>
      <x:c r="P13" s="74" t="str">
        <x:v>WEB_VERIFIED_STRICT</x:v>
      </x:c>
      <x:c r="Q13" s="74" t="str">
        <x:v>NONE</x:v>
      </x:c>
      <x:c r="R13" s="74" t="str">
        <x:v>NO</x:v>
      </x:c>
      <x:c r="S13" s="74" t="str">
        <x:v>소스류의 숨은 교차접촉 검증용.</x:v>
      </x:c>
      <x:c r="T13" s="89" t="n">
        <x:v>0</x:v>
      </x:c>
    </x:row>
    <x:row r="14" ht="94" customHeight="1">
      <x:c r="A14" s="73" t="str">
        <x:v>S013</x:v>
      </x:c>
      <x:c r="B14" s="74" t="str">
        <x:v>식용유</x:v>
      </x:c>
      <x:c r="C14" s="74" t="str">
        <x:v>사조대림/해표</x:v>
      </x:c>
      <x:c r="D14" s="74" t="str">
        <x:v>해표 맑고 신선한 식용유(콩기름)</x:v>
      </x:c>
      <x:c r="E14" s="74" t="str">
        <x:v>900mL</x:v>
      </x:c>
      <x:c r="F14" s="85" t="str">
        <x:v>8801039202395</x:v>
      </x:c>
      <x:c r="G14" s="74" t="str">
        <x:v>콩 100%[외국산(미국, 브라질, 파라과이 등)]</x:v>
      </x:c>
      <x:c r="H14" s="74" t="str">
        <x:v>대두 함유</x:v>
      </x:c>
      <x:c r="I14" s="74" t="str">
        <x:v>별도 교차접촉 문구 표시 없음(확인 라벨 기준)</x:v>
      </x:c>
      <x:c r="J14" s="74" t="str">
        <x:v>㈜사조대림 / 인천광역시 서구 봉수대로126</x:v>
      </x:c>
      <x:c r="K14" s="74" t="str">
        <x:v>1995020805612</x:v>
      </x:c>
      <x:c r="L14" s="74" t="str">
        <x:v>https://emile.emarteveryday.co.kr/product/ProductView?skuCode=8801039202395&amp;strCode=4006</x:v>
      </x:c>
      <x:c r="M14" s="74" t="str">
        <x:v>https://www.beepscan.com/barcode/8801039202395</x:v>
      </x:c>
      <x:c r="N14" s="74" t="str"/>
      <x:c r="O14" s="85" t="str">
        <x:v>2026-09-09</x:v>
      </x:c>
      <x:c r="P14" s="74" t="str">
        <x:v>WEB_VERIFIED_STRICT</x:v>
      </x:c>
      <x:c r="Q14" s="74" t="str">
        <x:v>NONE</x:v>
      </x:c>
      <x:c r="R14" s="74" t="str">
        <x:v>NO</x:v>
      </x:c>
      <x:c r="S14" s="74" t="str">
        <x:v>단일 주원료 + 대두 알레르겐 양성 대조군.</x:v>
      </x:c>
      <x:c r="T14" s="89" t="n">
        <x:v>0</x:v>
      </x:c>
    </x:row>
    <x:row r="15" ht="94" customHeight="1">
      <x:c r="A15" s="73" t="str">
        <x:v>S014</x:v>
      </x:c>
      <x:c r="B15" s="74" t="str">
        <x:v>쌀과자</x:v>
      </x:c>
      <x:c r="C15" s="74" t="str">
        <x:v>크라운제과</x:v>
      </x:c>
      <x:c r="D15" s="74" t="str">
        <x:v>참쌀설병</x:v>
      </x:c>
      <x:c r="E15" s="74" t="str">
        <x:v>270g</x:v>
      </x:c>
      <x:c r="F15" s="85" t="str">
        <x:v>8801111922722</x:v>
      </x:c>
      <x:c r="G15" s="74" t="str">
        <x:v>쌀, 백설탕, 팜유, 찹쌀가루, 감자전분, 정제소금, 젤라틴, 혼합제제(식물성유지, 유화제, 올레오레진로즈메리, 차추출물, 식용주정, 구연산), 향미증진제</x:v>
      </x:c>
      <x:c r="H15" s="74" t="str">
        <x:v>돼지고기, 대두 함유</x:v>
      </x:c>
      <x:c r="I15" s="74" t="str">
        <x:v>별도 교차접촉 문구 표시 없음(확인 라벨 기준)</x:v>
      </x:c>
      <x:c r="J15" s="74" t="str">
        <x:v>제조원 WANTWANT FOODS CO., LTD / 중국; 수입판매원 ㈜크라운제과 / 서울특별시 용산구 한강대로72길3</x:v>
      </x:c>
      <x:c r="K15" s="74" t="str"/>
      <x:c r="L15" s="74" t="str">
        <x:v>https://emile.emarteveryday.co.kr/product/ProductView?skuCode=8801111922722&amp;strCode=4006</x:v>
      </x:c>
      <x:c r="M15" s="74" t="str">
        <x:v>https://lottemartzetta.com/products/OS8801111922722/details</x:v>
      </x:c>
      <x:c r="N15" s="74" t="str"/>
      <x:c r="O15" s="85" t="str">
        <x:v>2026-09-09</x:v>
      </x:c>
      <x:c r="P15" s="74" t="str">
        <x:v>WEB_VERIFIED_STRICT</x:v>
      </x:c>
      <x:c r="Q15" s="74" t="str">
        <x:v>NONE</x:v>
      </x:c>
      <x:c r="R15" s="74" t="str">
        <x:v>NO</x:v>
      </x:c>
      <x:c r="S15" s="74" t="str">
        <x:v>쌀과자지만 젤라틴 때문에 돼지고기 표시가 존재하는 비직관적 케이스.</x:v>
      </x:c>
      <x:c r="T15" s="89" t="n">
        <x:v>0</x:v>
      </x:c>
    </x:row>
    <x:row r="16" ht="94" customHeight="1">
      <x:c r="A16" s="73" t="str">
        <x:v>S015</x:v>
      </x:c>
      <x:c r="B16" s="74" t="str">
        <x:v>설탕</x:v>
      </x:c>
      <x:c r="C16" s="74" t="str">
        <x:v>CJ제일제당/백설</x:v>
      </x:c>
      <x:c r="D16" s="74" t="str">
        <x:v>백설 하얀설탕</x:v>
      </x:c>
      <x:c r="E16" s="74" t="str">
        <x:v>1kg</x:v>
      </x:c>
      <x:c r="F16" s="85" t="str">
        <x:v>8801007100838</x:v>
      </x:c>
      <x:c r="G16" s="74" t="str">
        <x:v>원당 100%</x:v>
      </x:c>
      <x:c r="H16" s="74" t="str">
        <x:v>해당사항 없음</x:v>
      </x:c>
      <x:c r="I16" s="74" t="str">
        <x:v>별도 교차접촉 문구 표시 없음(확인 라벨 기준)</x:v>
      </x:c>
      <x:c r="J16" s="74" t="str">
        <x:v>CJ제일제당㈜ / 인천광역시 중구 아암대로20</x:v>
      </x:c>
      <x:c r="K16" s="74" t="str">
        <x:v>19730190015-29</x:v>
      </x:c>
      <x:c r="L16" s="74" t="str">
        <x:v>https://lottemartzetta.com/products/OS8801007100838/details</x:v>
      </x:c>
      <x:c r="M16" s="74" t="str">
        <x:v>https://m.gsshop.com/prd/prd.gs?bnclick=prd-b02_prdb02A_apiPrdBrand&amp;iid=W-1ERibq_6ne6&amp;mseq=437159&amp;prdid=1044124089</x:v>
      </x:c>
      <x:c r="N16" s="74" t="str"/>
      <x:c r="O16" s="85" t="str">
        <x:v>2026-09-09</x:v>
      </x:c>
      <x:c r="P16" s="74" t="str">
        <x:v>WEB_VERIFIED_STRICT</x:v>
      </x:c>
      <x:c r="Q16" s="74" t="str">
        <x:v>NONE</x:v>
      </x:c>
      <x:c r="R16" s="74" t="str">
        <x:v>NO</x:v>
      </x:c>
      <x:c r="S16" s="74" t="str">
        <x:v>원당 100%와 '알레르기 해당사항 없음'을 복수 현행 유통정보로 확인한 음성 대조군.</x:v>
      </x:c>
      <x:c r="T16" s="89" t="n">
        <x:v>0</x:v>
      </x:c>
    </x:row>
    <x:row r="17" ht="94" customHeight="1">
      <x:c r="A17" s="73" t="str">
        <x:v>S016</x:v>
      </x:c>
      <x:c r="B17" s="74" t="str">
        <x:v>탄산음료</x:v>
      </x:c>
      <x:c r="C17" s="74" t="str">
        <x:v>코카-콜라</x:v>
      </x:c>
      <x:c r="D17" s="74" t="str">
        <x:v>코카-콜라</x:v>
      </x:c>
      <x:c r="E17" s="74" t="str">
        <x:v>1.5L</x:v>
      </x:c>
      <x:c r="F17" s="85" t="str">
        <x:v>8801094012403</x:v>
      </x:c>
      <x:c r="G17" s="74" t="str">
        <x:v>정제수, 당시럽, 설탕, 기타과당, 이산화탄소, 카라멜색소, 인산, 천연향료, 카페인(향미증진제)</x:v>
      </x:c>
      <x:c r="H17" s="74" t="str">
        <x:v>별도 알레르기 함유 표시 없음(확인 라벨 기준)</x:v>
      </x:c>
      <x:c r="I17" s="74" t="str">
        <x:v>메밀, 땅콩, 대두, 밀, 복숭아, 토마토를 사용한 제품과 같은 제조시설</x:v>
      </x:c>
      <x:c r="J17" s="74" t="str">
        <x:v>코카-콜라음료㈜ / P1 경남 양산시 충렬로269; P2 광주광역시 북구 양일로130; P3 경기 여주시 세종로415</x:v>
      </x:c>
      <x:c r="K17" s="74" t="str">
        <x:v>P1 199706140831; P2 198402210121; P3 198003750026</x:v>
      </x:c>
      <x:c r="L17" s="74" t="str">
        <x:v>https://emile.emarteveryday.co.kr/product/ProductView?skuCode=8801094012403&amp;strCode=4006</x:v>
      </x:c>
      <x:c r="M17" s="74" t="str">
        <x:v>https://www.alpha.co.kr/product/productView.do?PS_IDX=&amp;productCode=139245</x:v>
      </x:c>
      <x:c r="N17" s="74" t="str"/>
      <x:c r="O17" s="85" t="str">
        <x:v>2026-09-09</x:v>
      </x:c>
      <x:c r="P17" s="74" t="str">
        <x:v>WEB_VERIFIED_STRICT</x:v>
      </x:c>
      <x:c r="Q17" s="74" t="str">
        <x:v>NONE</x:v>
      </x:c>
      <x:c r="R17" s="74" t="str">
        <x:v>NO</x:v>
      </x:c>
      <x:c r="S17" s="74" t="str">
        <x:v>직접 함유 알레르겐은 없지만 같은 제조시설 문구가 있는 음료 케이스.</x:v>
      </x:c>
      <x:c r="T17" s="89" t="n">
        <x:v>0</x:v>
      </x:c>
    </x:row>
    <x:row r="18" ht="94" customHeight="1">
      <x:c r="A18" s="73" t="str">
        <x:v>S017</x:v>
      </x:c>
      <x:c r="B18" s="74" t="str">
        <x:v>레토르트/즉석식</x:v>
      </x:c>
      <x:c r="C18" s="74" t="str">
        <x:v>오뚜기</x:v>
      </x:c>
      <x:c r="D18" s="74" t="str">
        <x:v>3분 카레 순한맛</x:v>
      </x:c>
      <x:c r="E18" s="74" t="str">
        <x:v>200g</x:v>
      </x:c>
      <x:c r="F18" s="85" t="str">
        <x:v>8801045290300</x:v>
      </x:c>
      <x:c r="G18" s="74" t="str">
        <x:v>정제수, 양파퓨레(중국산), 감자(미국산: 감자, 산도조절제), 혼합과일소스[사과(국산), 배(국산)], 열대과일퓨레, 쇠고기, 당근, 식물성유지, 변성전분, 감자전분, 사골엑기스, 토마토페이스트, 카레분 1.2%, 유크림, 오뚜기참치간장분말, 마늘, 쇠고기브이용, 정제소금, 설탕, 양파맛분말, 비프맛양념, 향미증진제, 큐민, 카르다몸, 고추가루, 강황추출액, 덱스트린</x:v>
      </x:c>
      <x:c r="H18" s="74" t="str">
        <x:v>우유, 대두, 밀, 토마토, 쇠고기 함유</x:v>
      </x:c>
      <x:c r="I18" s="74" t="str">
        <x:v>계란, 새우, 돼지고기, 닭고기, 오징어, 조개류(굴, 전복, 홍합 포함), 메추리알을 사용한 제품과 같은 제조시설</x:v>
      </x:c>
      <x:c r="J18" s="74" t="str">
        <x:v>주식회사 오뚜기 / 충북 음성군 대소면 대풍산단로128</x:v>
      </x:c>
      <x:c r="K18" s="74" t="str">
        <x:v>2001044505585</x:v>
      </x:c>
      <x:c r="L18" s="74" t="str">
        <x:v>https://emile.emarteveryday.co.kr/product/ProductView?skuCode=8801045290300&amp;strCode=4006</x:v>
      </x:c>
      <x:c r="M18" s="74" t="str">
        <x:v>https://lottemartzetta.com/products/OS8801045290300/details</x:v>
      </x:c>
      <x:c r="N18" s="74" t="str">
        <x:v>https://images.emarteveryday.co.kr/images/app/webapps/evd_web2/share/SKU/mall/00/03/8801045290300_3.png</x:v>
      </x:c>
      <x:c r="O18" s="85" t="str">
        <x:v>2026-09-09</x:v>
      </x:c>
      <x:c r="P18" s="74" t="str">
        <x:v>WEB_VERIFIED_STRICT</x:v>
      </x:c>
      <x:c r="Q18" s="74" t="str">
        <x:v>NONE</x:v>
      </x:c>
      <x:c r="R18" s="74" t="str">
        <x:v>NO</x:v>
      </x:c>
      <x:c r="S18" s="74" t="str">
        <x:v>현행 라벨 이미지에서 바코드·원재료·함유·같은시설·품목보고번호를 한 화면에서 직접 확인하고 롯데마트 판매코드로 재확인.</x:v>
      </x:c>
      <x:c r="T18" s="89" t="n">
        <x:v>0</x:v>
      </x:c>
    </x:row>
    <x:row r="19" ht="94" customHeight="1">
      <x:c r="A19" s="73" t="str">
        <x:v>S018</x:v>
      </x:c>
      <x:c r="B19" s="74" t="str">
        <x:v>시리얼</x:v>
      </x:c>
      <x:c r="C19" s="74" t="str">
        <x:v>동서식품/POST</x:v>
      </x:c>
      <x:c r="D19" s="74" t="str">
        <x:v>포스트 콘푸라이트</x:v>
      </x:c>
      <x:c r="E19" s="74" t="str">
        <x:v>600g</x:v>
      </x:c>
      <x:c r="F19" s="85" t="str">
        <x:v>8801037075649</x:v>
      </x:c>
      <x:c r="G19" s="74" t="str">
        <x:v>곡류가공품 66%[옥수수: 호주산], 설탕, 정제소금(국내산), 맥아엿, 식물성경화유지[코코넛오일(인도네시아산, 필리핀산)], 혼합제제[비타민C, d-토코페릴아세테이트, 나이아신아미드, 분말비타민A, 비타민B6염산염, 비타민D3, 비타민B1염산염, 비타민B2, 엽산, 말토덱스트린], 피로인산제이철, 혼합제제[글리세린, d-토코페롤(혼합형), 글리세린에스테르], 산화아연</x:v>
      </x:c>
      <x:c r="H19" s="74" t="str">
        <x:v>대두 함유</x:v>
      </x:c>
      <x:c r="I19" s="74" t="str">
        <x:v>밀, 호두, 우유, 돼지고기, 메밀, 달걀, 땅콩, 잣, 닭고기, 쇠고기, 토마토, 복숭아를 사용한 제품과 같은 제조시설</x:v>
      </x:c>
      <x:c r="J19" s="74" t="str">
        <x:v>동서식품㈜ / 충북 진천군 광혜원면 광혜원산단2길78-11</x:v>
      </x:c>
      <x:c r="K19" s="74" t="str">
        <x:v>19930443046-37</x:v>
      </x:c>
      <x:c r="L19" s="74" t="str">
        <x:v>https://emile.emarteveryday.co.kr/product/ProductView?skuCode=8801037075649&amp;strCode=4006</x:v>
      </x:c>
      <x:c r="M19" s="74" t="str">
        <x:v>https://lottemartzetta.com/products/OS8801037075649/details</x:v>
      </x:c>
      <x:c r="N19" s="74" t="str"/>
      <x:c r="O19" s="85" t="str">
        <x:v>2026-09-09</x:v>
      </x:c>
      <x:c r="P19" s="74" t="str">
        <x:v>WEB_VERIFIED_STRICT</x:v>
      </x:c>
      <x:c r="Q19" s="74" t="str">
        <x:v>NONE</x:v>
      </x:c>
      <x:c r="R19" s="74" t="str">
        <x:v>NO</x:v>
      </x:c>
      <x:c r="S19" s="74" t="str">
        <x:v>직접 함유는 대두 1종이지만 교차접촉 목록이 넓은 케이스.</x:v>
      </x:c>
      <x:c r="T19" s="89" t="n">
        <x:v>0</x:v>
      </x:c>
    </x:row>
    <x:row r="20" ht="94" customHeight="1">
      <x:c r="A20" s="73" t="str">
        <x:v>S019</x:v>
      </x:c>
      <x:c r="B20" s="74" t="str">
        <x:v>수산물가공 통조림</x:v>
      </x:c>
      <x:c r="C20" s="74" t="str">
        <x:v>동원F&amp;B</x:v>
      </x:c>
      <x:c r="D20" s="74" t="str">
        <x:v>동원 고추참치</x:v>
      </x:c>
      <x:c r="E20" s="74" t="str">
        <x:v>90g</x:v>
      </x:c>
      <x:c r="F20" s="85" t="str">
        <x:v>8801047123729</x:v>
      </x:c>
      <x:c r="G20" s="74" t="str">
        <x:v>가다랑어 50.3%(원양산), 고추소스 25.5%[D-소비톨액, 토마토페이스트(중국산), 설탕, 고춧가루 4.8%(중국산), 마늘, L-글루탐산나트륨(향미증진제), 향미증진제, 올레오레진캡시컴, 파프리카추출색소], 감자(국산), 정제수, 당근, 카놀라유, 양파</x:v>
      </x:c>
      <x:c r="H20" s="74" t="str">
        <x:v>토마토, 대두, 밀, 게, 조개류(굴 포함) 함유</x:v>
      </x:c>
      <x:c r="I20" s="74" t="str">
        <x:v>쇠고기, 닭고기, 돼지고기, 우유, 호두, 새우를 사용한 제품과 같은 제조시설</x:v>
      </x:c>
      <x:c r="J20" s="74" t="str">
        <x:v>F1 ㈜동원F&amp;B / 경남 창원시 의창구 남면로201; F4 삼진물산㈜ / 전남 목포시 산정공단로36</x:v>
      </x:c>
      <x:c r="K20" s="74" t="str">
        <x:v>F1 19880589063135; F4 1994050325226</x:v>
      </x:c>
      <x:c r="L20" s="74" t="str">
        <x:v>https://emile.emarteveryday.co.kr/product/ProductView?skuCode=8801047123729&amp;strCode=4006</x:v>
      </x:c>
      <x:c r="M20" s="74" t="str">
        <x:v>https://emile.emarteveryday.co.kr/product/ProductView?skuCode=8801047834021&amp;strCode=4006</x:v>
      </x:c>
      <x:c r="N20" s="74" t="str"/>
      <x:c r="O20" s="85" t="str">
        <x:v>2026-09-09</x:v>
      </x:c>
      <x:c r="P20" s="74" t="str">
        <x:v>WEB_VERIFIED_STRICT</x:v>
      </x:c>
      <x:c r="Q20" s="74" t="str">
        <x:v>NONE</x:v>
      </x:c>
      <x:c r="R20" s="74" t="str">
        <x:v>NO</x:v>
      </x:c>
      <x:c r="S20" s="74" t="str">
        <x:v>90g×4 판매 라벨에도 내부 단품 바코드 8801047123729가 인쇄되어 있고 원재료·알레르기 문구가 동일함을 재확인.</x:v>
      </x:c>
      <x:c r="T20" s="89" t="n">
        <x:v>0</x:v>
      </x:c>
    </x:row>
    <x:row r="21" ht="94" customHeight="1">
      <x:c r="A21" s="76" t="str">
        <x:v>S020</x:v>
      </x:c>
      <x:c r="B21" s="77" t="str">
        <x:v>조미김</x:v>
      </x:c>
      <x:c r="C21" s="77" t="str">
        <x:v>동원F&amp;B/양반</x:v>
      </x:c>
      <x:c r="D21" s="77" t="str">
        <x:v>양반 들기름&amp;올리브 혼합김</x:v>
      </x:c>
      <x:c r="E21" s="77" t="str">
        <x:v>4.5g×16 (72g)</x:v>
      </x:c>
      <x:c r="F21" s="86" t="str">
        <x:v>8801047224617</x:v>
      </x:c>
      <x:c r="G21" s="77" t="str">
        <x:v>양반 들기름김: 재래김(국산) 44.8%, 카놀라유(외국산: 캐나다, 호주, 이탈리아 등), 들기름(외국산: 중국, 베트남, 미얀마 등) 10.4%, 정제소금, 참기름, 허브추출물 / 양반 올리브김: 재래김(국산) 44.8%, 카놀라유(외국산: 캐나다, 호주, 이탈리아 등), 정제올리브유(스페인산) 5.2%, 참기름, 정제소금, 허브추출물</x:v>
      </x:c>
      <x:c r="H21" s="77" t="str">
        <x:v>별도 알레르기 함유 표시 없음(확인 라벨 기준)</x:v>
      </x:c>
      <x:c r="I21" s="77" t="str">
        <x:v>별도 교차접촉 문구 표시 없음(확인 라벨 기준)</x:v>
      </x:c>
      <x:c r="J21" s="77" t="str">
        <x:v>㈜동원F&amp;B / 충북 청주시 흥덕구 공단로40</x:v>
      </x:c>
      <x:c r="K21" s="77" t="str">
        <x:v>들기름김 1990041501371; 올리브김 1990041501356</x:v>
      </x:c>
      <x:c r="L21" s="77" t="str">
        <x:v>https://emile.emarteveryday.co.kr/product/ProductView?skuCode=8801047224617&amp;strCode=4006</x:v>
      </x:c>
      <x:c r="M21" s="77" t="str">
        <x:v>https://www.beepscan.com/barcode/8801047224617</x:v>
      </x:c>
      <x:c r="N21" s="77" t="str"/>
      <x:c r="O21" s="86" t="str">
        <x:v>2026-09-09</x:v>
      </x:c>
      <x:c r="P21" s="77" t="str">
        <x:v>WEB_VERIFIED_STRICT</x:v>
      </x:c>
      <x:c r="Q21" s="77" t="str">
        <x:v>NONE</x:v>
      </x:c>
      <x:c r="R21" s="77" t="str">
        <x:v>NO</x:v>
      </x:c>
      <x:c r="S21" s="77" t="str">
        <x:v>두 종류 김이 한 묶음인 구성품 케이스. 두 구성의 원재료·품목보고번호를 각각 보존.</x:v>
      </x:c>
      <x:c r="T21" s="90" t="n">
        <x:v>0</x:v>
      </x:c>
    </x:row>
  </x:sheetData>
  <x:conditionalFormatting sqref="P2:P21">
    <x:cfRule type="expression" dxfId="0" priority="1">
      <x:formula>P2="WEB_VERIFIED_STRICT"</x:formula>
    </x:cfRule>
  </x:conditionalFormatting>
  <x:conditionalFormatting sqref="Q2:Q21">
    <x:cfRule type="expression" dxfId="1" priority="2">
      <x:formula>Q2="NONE"</x:formula>
    </x:cfRule>
  </x:conditionalFormatting>
  <x:conditionalFormatting sqref="R2:R21">
    <x:cfRule type="expression" dxfId="2" priority="3">
      <x:formula>R2="NO"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8" hidden="0" customWidth="1"/>
    <x:col min="3" max="3" width="58" hidden="0" customWidth="1"/>
    <x:col min="4" max="4" width="30" hidden="0" customWidth="1"/>
  </x:cols>
  <x:sheetData>
    <x:row r="1">
      <x:c r="A1" s="30" t="str">
        <x:v>후보</x:v>
      </x:c>
      <x:c r="B1" s="31" t="str">
        <x:v>탈락 사유</x:v>
      </x:c>
      <x:c r="C1" s="31" t="str">
        <x:v>검증 결과/대체 원칙</x:v>
      </x:c>
      <x:c r="D1" s="33" t="str">
        <x:v>상태</x:v>
      </x:c>
    </x:row>
    <x:row r="2" ht="58" customHeight="1">
      <x:c r="A2" s="73" t="str">
        <x:v>농심 얼큰한 너구리</x:v>
      </x:c>
      <x:c r="B2" s="74" t="str">
        <x:v>현행 판매처 사이에서 알레르기 함유/같은 제조시설 범위가 일치하지 않음</x:v>
      </x:c>
      <x:c r="C2" s="74" t="str">
        <x:v>충돌을 강제로 합치지 않고 최종 20에서 제외</x:v>
      </x:c>
      <x:c r="D2" s="75" t="str">
        <x:v>REJECTED_CONFLICT</x:v>
      </x:c>
    </x:row>
    <x:row r="3" ht="58" customHeight="1">
      <x:c r="A3" s="73" t="str">
        <x:v>오뚜기 참깨라면</x:v>
      </x:c>
      <x:c r="B3" s="74" t="str">
        <x:v>묶음 GTIN과 낱개 GTIN이 다르고 제조소/스프 세부 배합 버전 차이도 확인됨</x:v>
      </x:c>
      <x:c r="C3" s="74" t="str">
        <x:v>패키지 버전 고정 전까지 Strict Reference에서 제외</x:v>
      </x:c>
      <x:c r="D3" s="75" t="str">
        <x:v>REJECTED_VERSION</x:v>
      </x:c>
    </x:row>
    <x:row r="4" ht="58" customHeight="1">
      <x:c r="A4" s="73" t="str">
        <x:v>팔도 비빔면</x:v>
      </x:c>
      <x:c r="B4" s="74" t="str">
        <x:v>국내판과 수출/해외 유통판의 알레르기 표시 범위가 다름</x:v>
      </x:c>
      <x:c r="C4" s="74" t="str">
        <x:v>시장(country_market) 분리 없이 사용 금지</x:v>
      </x:c>
      <x:c r="D4" s="75" t="str">
        <x:v>REJECTED_MARKET_VARIANT</x:v>
      </x:c>
    </x:row>
    <x:row r="5" ht="58" customHeight="1">
      <x:c r="A5" s="73" t="str">
        <x:v>오리온 포카칩 오리지널</x:v>
      </x:c>
      <x:c r="B5" s="74" t="str">
        <x:v>동일 현행 페이지에서 라벨 이미지와 구조화 상품정보의 감자 원산지/교차접촉 항목이 어긋남</x:v>
      </x:c>
      <x:c r="C5" s="74" t="str">
        <x:v>라벨과 메타데이터 충돌 제품은 제외</x:v>
      </x:c>
      <x:c r="D5" s="75" t="str">
        <x:v>REJECTED_SOURCE_CONFLICT</x:v>
      </x:c>
    </x:row>
    <x:row r="6" ht="58" customHeight="1">
      <x:c r="A6" s="73" t="str">
        <x:v>빙그레 요플레 플레인 White</x:v>
      </x:c>
      <x:c r="B6" s="74" t="str">
        <x:v>라벨과 구조화 정보의 제조소/주소가 일치하지 않는 자료가 존재</x:v>
      </x:c>
      <x:c r="C6" s="74" t="str">
        <x:v>정확한 생산 버전 고정 전 제외</x:v>
      </x:c>
      <x:c r="D6" s="75" t="str">
        <x:v>REJECTED_FACTORY_CONFLICT</x:v>
      </x:c>
    </x:row>
    <x:row r="7" ht="58" customHeight="1">
      <x:c r="A7" s="73" t="str">
        <x:v>오뚜기 골드 마요네즈 500g</x:v>
      </x:c>
      <x:c r="B7" s="74" t="str">
        <x:v>상품 페이지의 라벨과 구조화 고시가 다른 제품(돈까스소스) 정보로 오염된 페이지 확인</x:v>
      </x:c>
      <x:c r="C7" s="74" t="str">
        <x:v>메타데이터 오염 가능 페이지는 근거로 사용하지 않음</x:v>
      </x:c>
      <x:c r="D7" s="75" t="str">
        <x:v>REJECTED_METADATA_ERROR</x:v>
      </x:c>
    </x:row>
    <x:row r="8" ht="58" customHeight="1">
      <x:c r="A8" s="73" t="str">
        <x:v>베지밀 검은콩 아몬드&amp;호두</x:v>
      </x:c>
      <x:c r="B8" s="74" t="str">
        <x:v>온라인 라벨에서 원재료 하위 항목 한 토큰을 확정적으로 판독하지 못함</x:v>
      </x:c>
      <x:c r="C8" s="74" t="str">
        <x:v>한 글자라도 미확정이면 Strict Reference 탈락</x:v>
      </x:c>
      <x:c r="D8" s="75" t="str">
        <x:v>REJECTED_UNREADABLE</x:v>
      </x:c>
    </x:row>
    <x:row r="9" ht="58" customHeight="1">
      <x:c r="A9" s="73" t="str">
        <x:v>진주햄 천하장사 오리지날</x:v>
      </x:c>
      <x:c r="B9" s="74" t="str">
        <x:v>페이지 제목 중량과 라벨/구조화 중량이 다른 버전이 섞임</x:v>
      </x:c>
      <x:c r="C9" s="74" t="str">
        <x:v>중량·GTIN·라벨 버전이 1:1로 고정될 때까지 제외</x:v>
      </x:c>
      <x:c r="D9" s="75" t="str">
        <x:v>REJECTED_VERSION</x:v>
      </x:c>
    </x:row>
    <x:row r="10" ht="58" customHeight="1">
      <x:c r="A10" s="73" t="str">
        <x:v>델몬트 오렌지주스 1.5L</x:v>
      </x:c>
      <x:c r="B10" s="74" t="str">
        <x:v>현행 판매 페이지는 확인됐지만 전체 라벨 텍스트를 충분히 판독할 근거가 부족</x:v>
      </x:c>
      <x:c r="C10" s="74" t="str">
        <x:v>원재료 전체 + 알레르기 + 교차접촉을 모두 읽지 못하면 제외</x:v>
      </x:c>
      <x:c r="D10" s="75" t="str">
        <x:v>REJECTED_INSUFFICIENT_LABEL</x:v>
      </x:c>
    </x:row>
    <x:row r="11" ht="58" customHeight="1">
      <x:c r="A11" s="73" t="str">
        <x:v>덴마크 드링킹요구르트 플레인 275mL</x:v>
      </x:c>
      <x:c r="B11" s="74" t="str">
        <x:v>판매 제품과 성분 정보는 찾았지만 단품 GTIN을 독립 근거로 확정하지 못함</x:v>
      </x:c>
      <x:c r="C11" s="74" t="str">
        <x:v>사용자가 예시로 제안했어도 기준 미달이면 다른 제품으로 교체</x:v>
      </x:c>
      <x:c r="D11" s="75" t="str">
        <x:v>REJECTED_GTIN_UNCONFIRMED</x:v>
      </x:c>
    </x:row>
    <x:row r="12" ht="58" customHeight="1">
      <x:c r="A12" s="73" t="str">
        <x:v>동원 라이트스탠다드 참치</x:v>
      </x:c>
      <x:c r="B12" s="74" t="str">
        <x:v>출처에 따라 주원료 명칭이 '다랑어/가다랑어'로 완전히 동일하지 않음</x:v>
      </x:c>
      <x:c r="C12" s="74" t="str">
        <x:v>사소한 텍스트 불일치도 제거하고 제주삼다수로 교체</x:v>
      </x:c>
      <x:c r="D12" s="75" t="str">
        <x:v>REJECTED_TEXT_MISMATCH</x:v>
      </x:c>
    </x:row>
    <x:row r="13" ht="58" customHeight="1">
      <x:c r="A13" s="76" t="str">
        <x:v>오뚜기 옛날국수 소면 900g</x:v>
      </x:c>
      <x:c r="B13" s="77" t="str">
        <x:v>GTIN·원재료는 일치했으나 유통 정보에서 제조원 명칭 표기가 불안정한 자료가 존재</x:v>
      </x:c>
      <x:c r="C13" s="77" t="str">
        <x:v>제조원까지 충돌 없이 고정되는 제품만 채택</x:v>
      </x:c>
      <x:c r="D13" s="78" t="str">
        <x:v>REJECTED_MANUFACTURER_MISMATCH</x:v>
      </x:c>
    </x:row>
  </x:sheetData>
  <x:conditionalFormatting sqref="D2:D13">
    <x:cfRule type="expression" dxfId="3" priority="1">
      <x:formula>LEFT(D2,8)="REJECTED"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93" t="str">
        <x:v>항목</x:v>
      </x:c>
      <x:c r="B1" s="94" t="str">
        <x:v>Strict Web-Verified Reference 기준</x:v>
      </x:c>
    </x:row>
    <x:row r="2" ht="48" customHeight="1">
      <x:c r="A2" s="73" t="str">
        <x:v>정의</x:v>
      </x:c>
      <x:c r="B2" s="75" t="str">
        <x:v>인터넷에서 현재 판매 중인 동일 규격 제품의 라벨/상품고시/GTIN을 복수 근거로 교차검증한 Gold-candidate 데이터. 사용자가 손에 든 동일 포장 실물까지 대조하기 전에는 Physical Gold라고 부르지 않음.</x:v>
      </x:c>
    </x:row>
    <x:row r="3" ht="48" customHeight="1">
      <x:c r="A3" s="73" t="str">
        <x:v>필수 1</x:v>
      </x:c>
      <x:c r="B3" s="75" t="str">
        <x:v>제품명 + 규격 + GTIN이 동일한 제품이어야 함.</x:v>
      </x:c>
    </x:row>
    <x:row r="4" ht="48" customHeight="1">
      <x:c r="A4" s="73" t="str">
        <x:v>필수 2</x:v>
      </x:c>
      <x:c r="B4" s="75" t="str">
        <x:v>원재료명 전체를 현행 라벨 이미지 또는 현행 라벨을 그대로 전사한 상품정보에서 읽을 수 있어야 함.</x:v>
      </x:c>
    </x:row>
    <x:row r="5" ht="48" customHeight="1">
      <x:c r="A5" s="73" t="str">
        <x:v>필수 3</x:v>
      </x:c>
      <x:c r="B5" s="75" t="str">
        <x:v>별도 알레르기 함유 표시를 라벨 기준으로 기록. 표시가 없으면 '표시 없음(확인 라벨 기준)'으로만 기록하고 안전을 추론하지 않음.</x:v>
      </x:c>
    </x:row>
    <x:row r="6" ht="48" customHeight="1">
      <x:c r="A6" s="73" t="str">
        <x:v>필수 4</x:v>
      </x:c>
      <x:c r="B6" s="75" t="str">
        <x:v>'같은 제조시설', '혼입가능' 등 교차접촉 문구를 라벨 그대로 분리 저장.</x:v>
      </x:c>
    </x:row>
    <x:row r="7" ht="48" customHeight="1">
      <x:c r="A7" s="73" t="str">
        <x:v>필수 5</x:v>
      </x:c>
      <x:c r="B7" s="75" t="str">
        <x:v>가능한 경우 제조원/제조소와 품목보고번호를 함께 저장.</x:v>
      </x:c>
    </x:row>
    <x:row r="8" ht="48" customHeight="1">
      <x:c r="A8" s="73" t="str">
        <x:v>필수 6</x:v>
      </x:c>
      <x:c r="B8" s="75" t="str">
        <x:v>독립 GTIN/판매 근거를 최소 하나 더 확인. 동일 패키지 레벨인지 확인.</x:v>
      </x:c>
    </x:row>
    <x:row r="9" ht="48" customHeight="1">
      <x:c r="A9" s="73" t="str">
        <x:v>탈락 규칙</x:v>
      </x:c>
      <x:c r="B9" s="75" t="str">
        <x:v>원재료 한 글자라도 미확정, GTIN 미확정, 규격/제조소/알레르기 문구 충돌, 국내판/수출판 혼재, 낱개/묶음 GTIN 혼재가 해결되지 않으면 즉시 탈락하고 다른 제품으로 교체.</x:v>
      </x:c>
    </x:row>
    <x:row r="10" ht="48" customHeight="1">
      <x:c r="A10" s="73" t="str">
        <x:v>추론 금지</x:v>
      </x:c>
      <x:c r="B10" s="75" t="str">
        <x:v>안 보이는 원재료나 알레르겐을 레시피·영양성분·상식으로 추정해 채우지 않음.</x:v>
      </x:c>
    </x:row>
    <x:row r="11" ht="48" customHeight="1">
      <x:c r="A11" s="73" t="str">
        <x:v>Physical Gold 승격</x:v>
      </x:c>
      <x:c r="B11" s="75" t="str">
        <x:v>사용자가 실제 구매한 동일 GTIN 제품의 앞/뒤 라벨 전체 사진을 촬영 → 이 파일의 원재료/알레르기/교차접촉/제조정보와 100% 문자 대조 → 일치한 해당 생산 라벨 버전만 GOLD_PHYSICAL로 승격.</x:v>
      </x:c>
    </x:row>
    <x:row r="12" ht="48" customHeight="1">
      <x:c r="A12" s="76" t="str">
        <x:v>검증일</x:v>
      </x:c>
      <x:c r="B12" s="78" t="str">
        <x:v>2026-09-09</x:v>
      </x:c>
    </x:row>
  </x:sheetData>
  <x:pageMargins left="0.7" right="0.7" top="0.75" bottom="0.75" header="0.3" footer="0.3"/>
</x:worksheet>
</file>